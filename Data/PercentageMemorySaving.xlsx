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cce\Desktop\data\"/>
    </mc:Choice>
  </mc:AlternateContent>
  <xr:revisionPtr revIDLastSave="0" documentId="13_ncr:1_{ABA489DD-D9C6-4C4B-9985-1E4AFD994FBE}" xr6:coauthVersionLast="47" xr6:coauthVersionMax="47" xr10:uidLastSave="{00000000-0000-0000-0000-000000000000}"/>
  <bookViews>
    <workbookView xWindow="31170" yWindow="570" windowWidth="23070" windowHeight="152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K5" i="1" s="1"/>
  <c r="J5" i="1" s="1"/>
  <c r="Q5" i="1" s="1"/>
  <c r="J3" i="1"/>
  <c r="Q3" i="1" s="1"/>
  <c r="Q54" i="1"/>
  <c r="Q50" i="1"/>
  <c r="Q46" i="1"/>
  <c r="Q42" i="1"/>
  <c r="Q38" i="1"/>
  <c r="Q34" i="1"/>
  <c r="Q30" i="1"/>
  <c r="Q26" i="1"/>
  <c r="Q22" i="1"/>
  <c r="Q18" i="1"/>
  <c r="Q14" i="1"/>
  <c r="Q10" i="1"/>
  <c r="Q6" i="1"/>
  <c r="Q2" i="1"/>
  <c r="L57" i="1"/>
  <c r="K57" i="1" s="1"/>
  <c r="J57" i="1" s="1"/>
  <c r="Q57" i="1" s="1"/>
  <c r="K56" i="1"/>
  <c r="J56" i="1" s="1"/>
  <c r="Q56" i="1" s="1"/>
  <c r="J55" i="1"/>
  <c r="Q55" i="1" s="1"/>
  <c r="L53" i="1"/>
  <c r="K53" i="1" s="1"/>
  <c r="J53" i="1" s="1"/>
  <c r="Q53" i="1" s="1"/>
  <c r="K52" i="1"/>
  <c r="J52" i="1" s="1"/>
  <c r="Q52" i="1" s="1"/>
  <c r="J51" i="1"/>
  <c r="Q51" i="1" s="1"/>
  <c r="L49" i="1"/>
  <c r="K49" i="1" s="1"/>
  <c r="J49" i="1" s="1"/>
  <c r="Q49" i="1" s="1"/>
  <c r="K48" i="1"/>
  <c r="J48" i="1" s="1"/>
  <c r="Q48" i="1" s="1"/>
  <c r="J47" i="1"/>
  <c r="Q47" i="1" s="1"/>
  <c r="S47" i="1" s="1"/>
  <c r="L45" i="1"/>
  <c r="K45" i="1" s="1"/>
  <c r="J45" i="1" s="1"/>
  <c r="Q45" i="1" s="1"/>
  <c r="S45" i="1" s="1"/>
  <c r="K44" i="1"/>
  <c r="J44" i="1" s="1"/>
  <c r="Q44" i="1" s="1"/>
  <c r="J43" i="1"/>
  <c r="Q43" i="1" s="1"/>
  <c r="L41" i="1"/>
  <c r="K41" i="1" s="1"/>
  <c r="J41" i="1" s="1"/>
  <c r="Q41" i="1" s="1"/>
  <c r="K40" i="1"/>
  <c r="J40" i="1" s="1"/>
  <c r="Q40" i="1" s="1"/>
  <c r="J39" i="1"/>
  <c r="Q39" i="1" s="1"/>
  <c r="L37" i="1"/>
  <c r="K37" i="1" s="1"/>
  <c r="J37" i="1" s="1"/>
  <c r="Q37" i="1" s="1"/>
  <c r="K36" i="1"/>
  <c r="J36" i="1" s="1"/>
  <c r="Q36" i="1" s="1"/>
  <c r="J35" i="1"/>
  <c r="Q35" i="1" s="1"/>
  <c r="L33" i="1"/>
  <c r="K33" i="1" s="1"/>
  <c r="J33" i="1" s="1"/>
  <c r="Q33" i="1" s="1"/>
  <c r="K32" i="1"/>
  <c r="J32" i="1" s="1"/>
  <c r="Q32" i="1" s="1"/>
  <c r="J31" i="1"/>
  <c r="Q31" i="1" s="1"/>
  <c r="L29" i="1"/>
  <c r="K29" i="1" s="1"/>
  <c r="J29" i="1" s="1"/>
  <c r="Q29" i="1" s="1"/>
  <c r="K28" i="1"/>
  <c r="J28" i="1" s="1"/>
  <c r="Q28" i="1" s="1"/>
  <c r="J27" i="1"/>
  <c r="Q27" i="1" s="1"/>
  <c r="L25" i="1"/>
  <c r="K25" i="1" s="1"/>
  <c r="J25" i="1" s="1"/>
  <c r="Q25" i="1" s="1"/>
  <c r="K24" i="1"/>
  <c r="J24" i="1" s="1"/>
  <c r="Q24" i="1" s="1"/>
  <c r="J23" i="1"/>
  <c r="Q23" i="1" s="1"/>
  <c r="L21" i="1"/>
  <c r="K21" i="1" s="1"/>
  <c r="J21" i="1" s="1"/>
  <c r="Q21" i="1" s="1"/>
  <c r="K20" i="1"/>
  <c r="J20" i="1" s="1"/>
  <c r="Q20" i="1" s="1"/>
  <c r="J19" i="1"/>
  <c r="Q19" i="1" s="1"/>
  <c r="L17" i="1"/>
  <c r="K17" i="1" s="1"/>
  <c r="J17" i="1" s="1"/>
  <c r="Q17" i="1" s="1"/>
  <c r="K16" i="1"/>
  <c r="J16" i="1" s="1"/>
  <c r="Q16" i="1" s="1"/>
  <c r="J15" i="1"/>
  <c r="Q15" i="1" s="1"/>
  <c r="L13" i="1"/>
  <c r="K13" i="1" s="1"/>
  <c r="J13" i="1" s="1"/>
  <c r="Q13" i="1" s="1"/>
  <c r="K12" i="1"/>
  <c r="J12" i="1" s="1"/>
  <c r="Q12" i="1" s="1"/>
  <c r="J11" i="1"/>
  <c r="Q11" i="1" s="1"/>
  <c r="L9" i="1"/>
  <c r="K9" i="1" s="1"/>
  <c r="J9" i="1" s="1"/>
  <c r="Q9" i="1" s="1"/>
  <c r="S9" i="1" s="1"/>
  <c r="K8" i="1"/>
  <c r="J8" i="1" s="1"/>
  <c r="Q8" i="1" s="1"/>
  <c r="J7" i="1"/>
  <c r="Q7" i="1" s="1"/>
  <c r="K4" i="1"/>
  <c r="J4" i="1" s="1"/>
  <c r="Q4" i="1" s="1"/>
  <c r="S17" i="1" l="1"/>
  <c r="S15" i="1"/>
  <c r="S16" i="1"/>
  <c r="S48" i="1"/>
  <c r="S53" i="1"/>
  <c r="S33" i="1"/>
  <c r="S28" i="1"/>
  <c r="S29" i="1"/>
  <c r="S31" i="1"/>
  <c r="S32" i="1"/>
  <c r="S43" i="1"/>
  <c r="S21" i="1"/>
  <c r="S25" i="1"/>
  <c r="S27" i="1"/>
  <c r="AD29" i="1" s="1"/>
  <c r="S52" i="1"/>
  <c r="S44" i="1"/>
  <c r="S57" i="1"/>
  <c r="S49" i="1"/>
  <c r="AD49" i="1" s="1"/>
  <c r="S37" i="1"/>
  <c r="S5" i="1"/>
  <c r="S8" i="1"/>
  <c r="S13" i="1"/>
  <c r="S41" i="1"/>
  <c r="S3" i="1"/>
  <c r="S19" i="1"/>
  <c r="S35" i="1"/>
  <c r="S4" i="1"/>
  <c r="S20" i="1"/>
  <c r="S36" i="1"/>
  <c r="S7" i="1"/>
  <c r="S23" i="1"/>
  <c r="S39" i="1"/>
  <c r="S51" i="1"/>
  <c r="S24" i="1"/>
  <c r="S40" i="1"/>
  <c r="S11" i="1"/>
  <c r="S55" i="1"/>
  <c r="S12" i="1"/>
  <c r="S56" i="1"/>
  <c r="AD17" i="1" l="1"/>
  <c r="AD37" i="1"/>
  <c r="AD57" i="1"/>
  <c r="AD21" i="1"/>
  <c r="AD13" i="1"/>
  <c r="AD5" i="1"/>
  <c r="AD53" i="1"/>
  <c r="AD33" i="1"/>
  <c r="AD41" i="1"/>
  <c r="AD45" i="1"/>
  <c r="AD25" i="1"/>
  <c r="AD9" i="1"/>
</calcChain>
</file>

<file path=xl/sharedStrings.xml><?xml version="1.0" encoding="utf-8"?>
<sst xmlns="http://schemas.openxmlformats.org/spreadsheetml/2006/main" count="104" uniqueCount="38">
  <si>
    <t>geometry</t>
  </si>
  <si>
    <t>n_layers</t>
  </si>
  <si>
    <t>#of cells in the first layer refined</t>
  </si>
  <si>
    <t>#of cells in the second layer refined</t>
  </si>
  <si>
    <t>#of cells in the third layer refined</t>
  </si>
  <si>
    <t>bytes</t>
  </si>
  <si>
    <t>%saving(against original Single)</t>
  </si>
  <si>
    <t>subdivision from layer 1 to 2</t>
  </si>
  <si>
    <t>subdivision 2 to 3</t>
  </si>
  <si>
    <t>subdivision  3 to 4</t>
  </si>
  <si>
    <t>min angle (rad)</t>
  </si>
  <si>
    <t>min edge length</t>
  </si>
  <si>
    <t>max cell spacing</t>
  </si>
  <si>
    <t>maxSaving</t>
  </si>
  <si>
    <t>Hex72</t>
  </si>
  <si>
    <t>-</t>
  </si>
  <si>
    <t>hex</t>
  </si>
  <si>
    <t>Hex243</t>
  </si>
  <si>
    <t>Hex576</t>
  </si>
  <si>
    <t>Hex1125</t>
  </si>
  <si>
    <t>Hex1944</t>
  </si>
  <si>
    <t>Poly264</t>
  </si>
  <si>
    <t>Poly</t>
  </si>
  <si>
    <t>Poly468</t>
  </si>
  <si>
    <t>Poly940</t>
  </si>
  <si>
    <t>Poly1560</t>
  </si>
  <si>
    <t>Tet137</t>
  </si>
  <si>
    <t>Tet</t>
  </si>
  <si>
    <t>Tet298</t>
  </si>
  <si>
    <t>Tet427</t>
  </si>
  <si>
    <t>Tet1331</t>
  </si>
  <si>
    <t>Tet1820</t>
  </si>
  <si>
    <t>constant factor</t>
  </si>
  <si>
    <t>cells@L1</t>
  </si>
  <si>
    <t>cells@L2</t>
  </si>
  <si>
    <t>cells@L3</t>
  </si>
  <si>
    <t>cells@L4</t>
  </si>
  <si>
    <t>(cells with refinement terminated at each 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</si>
</sst>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"/>
  <sheetViews>
    <sheetView tabSelected="1" topLeftCell="A21" zoomScale="85" zoomScaleNormal="85" workbookViewId="0">
      <selection activeCell="H34" sqref="H34"/>
    </sheetView>
  </sheetViews>
  <sheetFormatPr defaultRowHeight="14.4" x14ac:dyDescent="0.3"/>
  <cols>
    <col min="5" max="5" width="10" bestFit="1" customWidth="1"/>
    <col min="8" max="8" width="50.44140625" customWidth="1"/>
    <col min="17" max="17" width="11" bestFit="1" customWidth="1"/>
  </cols>
  <sheetData>
    <row r="1" spans="1:32" s="1" customFormat="1" x14ac:dyDescent="0.3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J1" s="1" t="s">
        <v>2</v>
      </c>
      <c r="K1" s="1" t="s">
        <v>3</v>
      </c>
      <c r="L1" s="1" t="s">
        <v>4</v>
      </c>
      <c r="Q1" s="1" t="s">
        <v>5</v>
      </c>
      <c r="S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D1" s="1" t="s">
        <v>13</v>
      </c>
    </row>
    <row r="2" spans="1:32" x14ac:dyDescent="0.3">
      <c r="A2" t="s">
        <v>14</v>
      </c>
      <c r="B2">
        <v>1</v>
      </c>
      <c r="C2" t="s">
        <v>15</v>
      </c>
      <c r="D2">
        <v>7080372</v>
      </c>
      <c r="Q2">
        <f>D2*(4)</f>
        <v>28321488</v>
      </c>
    </row>
    <row r="3" spans="1:32" x14ac:dyDescent="0.3">
      <c r="A3" t="s">
        <v>14</v>
      </c>
      <c r="B3">
        <v>2</v>
      </c>
      <c r="C3">
        <v>0.1</v>
      </c>
      <c r="D3">
        <v>58531</v>
      </c>
      <c r="E3">
        <v>496125</v>
      </c>
      <c r="F3">
        <v>2907</v>
      </c>
      <c r="J3">
        <f>E3/(W3^3)</f>
        <v>3969</v>
      </c>
      <c r="Q3">
        <f>D3*4+E3*4+J3*8</f>
        <v>2250376</v>
      </c>
      <c r="S3">
        <f>(Q2-Q3)/Q2</f>
        <v>0.92054174554670287</v>
      </c>
      <c r="W3">
        <v>5</v>
      </c>
      <c r="Z3" s="2"/>
    </row>
    <row r="4" spans="1:32" x14ac:dyDescent="0.3">
      <c r="A4" t="s">
        <v>14</v>
      </c>
      <c r="B4">
        <v>3</v>
      </c>
      <c r="C4">
        <v>0.1</v>
      </c>
      <c r="D4">
        <v>110487</v>
      </c>
      <c r="E4">
        <v>15440</v>
      </c>
      <c r="F4">
        <v>185792</v>
      </c>
      <c r="G4">
        <v>2629</v>
      </c>
      <c r="J4">
        <f>(E4+K4)/(W4^3)</f>
        <v>4833</v>
      </c>
      <c r="K4">
        <f>F4/(X4^3)</f>
        <v>23224</v>
      </c>
      <c r="Q4">
        <f>D4*4+E4*4+F4*4+J4*8+K4*8</f>
        <v>1471332</v>
      </c>
      <c r="S4">
        <f>(Q2-Q4)/Q2</f>
        <v>0.94804891607390118</v>
      </c>
      <c r="W4">
        <v>2</v>
      </c>
      <c r="X4">
        <v>2</v>
      </c>
    </row>
    <row r="5" spans="1:32" s="1" customFormat="1" x14ac:dyDescent="0.3">
      <c r="A5" s="1" t="s">
        <v>14</v>
      </c>
      <c r="B5" s="1">
        <v>4</v>
      </c>
      <c r="C5" s="1">
        <v>0.5</v>
      </c>
      <c r="D5" s="1">
        <v>17206</v>
      </c>
      <c r="E5" s="1">
        <v>7522</v>
      </c>
      <c r="F5" s="1">
        <v>34691</v>
      </c>
      <c r="G5" s="1">
        <v>467816</v>
      </c>
      <c r="J5" s="1">
        <f>(E5+K5)/(W5^3)</f>
        <v>2396</v>
      </c>
      <c r="K5" s="1">
        <f>(F5+L5)/(X5^3)</f>
        <v>11646</v>
      </c>
      <c r="L5" s="1">
        <f>G5/(Y5^3)</f>
        <v>58477</v>
      </c>
      <c r="Q5" s="1">
        <f>D5*4+E5*4+F5*4+G5*4+J5*8+K5*8+L5*8</f>
        <v>2689092</v>
      </c>
      <c r="S5" s="1">
        <f>(Q2-Q5)/Q2</f>
        <v>0.90505117527723122</v>
      </c>
      <c r="W5" s="1">
        <v>2</v>
      </c>
      <c r="X5" s="1">
        <v>2</v>
      </c>
      <c r="Y5" s="1">
        <v>2</v>
      </c>
      <c r="Z5" s="1">
        <v>0.78539816339744795</v>
      </c>
      <c r="AA5" s="3">
        <v>7.7499999999999999E-2</v>
      </c>
      <c r="AB5" s="3">
        <v>5.1295857160923901E-3</v>
      </c>
      <c r="AD5" s="1">
        <f>MAX(S3:S5)</f>
        <v>0.94804891607390118</v>
      </c>
      <c r="AF5" s="1" t="s">
        <v>16</v>
      </c>
    </row>
    <row r="6" spans="1:32" x14ac:dyDescent="0.3">
      <c r="A6" t="s">
        <v>17</v>
      </c>
      <c r="B6">
        <v>1</v>
      </c>
      <c r="C6" t="s">
        <v>15</v>
      </c>
      <c r="D6">
        <v>12610168</v>
      </c>
      <c r="Q6">
        <f>D6*(4)</f>
        <v>50440672</v>
      </c>
    </row>
    <row r="7" spans="1:32" x14ac:dyDescent="0.3">
      <c r="A7" t="s">
        <v>17</v>
      </c>
      <c r="B7">
        <v>2</v>
      </c>
      <c r="C7">
        <v>0.1</v>
      </c>
      <c r="D7">
        <v>190572</v>
      </c>
      <c r="E7">
        <v>763392</v>
      </c>
      <c r="F7">
        <v>9332</v>
      </c>
      <c r="J7">
        <f>E7/(W7^3)</f>
        <v>11928</v>
      </c>
      <c r="Q7">
        <f>D7*4+E7*4+J7*8</f>
        <v>3911280</v>
      </c>
      <c r="S7">
        <f>(Q6-Q7)/Q6</f>
        <v>0.92245781340898869</v>
      </c>
      <c r="W7">
        <v>4</v>
      </c>
    </row>
    <row r="8" spans="1:32" x14ac:dyDescent="0.3">
      <c r="A8" t="s">
        <v>17</v>
      </c>
      <c r="B8">
        <v>3</v>
      </c>
      <c r="C8">
        <v>0.1</v>
      </c>
      <c r="D8">
        <v>190572</v>
      </c>
      <c r="E8">
        <v>34462</v>
      </c>
      <c r="F8">
        <v>487696</v>
      </c>
      <c r="G8">
        <v>9384</v>
      </c>
      <c r="J8">
        <f>(E8+K8)/(W8^3)</f>
        <v>11928</v>
      </c>
      <c r="K8">
        <f>F8/(X8^3)</f>
        <v>60962</v>
      </c>
      <c r="Q8">
        <f>D8*4+E8*4+F8*4+J8*8+K8*8</f>
        <v>3434040</v>
      </c>
      <c r="S8">
        <f>(Q6-Q8)/Q6</f>
        <v>0.93191922581840303</v>
      </c>
      <c r="W8">
        <v>2</v>
      </c>
      <c r="X8">
        <v>2</v>
      </c>
    </row>
    <row r="9" spans="1:32" s="1" customFormat="1" x14ac:dyDescent="0.3">
      <c r="A9" s="1" t="s">
        <v>17</v>
      </c>
      <c r="B9" s="1">
        <v>4</v>
      </c>
      <c r="C9" s="1">
        <v>0.5</v>
      </c>
      <c r="D9" s="1">
        <v>312</v>
      </c>
      <c r="E9" s="1">
        <v>96580</v>
      </c>
      <c r="F9" s="1">
        <v>248652</v>
      </c>
      <c r="G9" s="1">
        <v>3733664</v>
      </c>
      <c r="J9" s="1">
        <f>(E9+K9)/(W9^3)</f>
        <v>1488</v>
      </c>
      <c r="K9" s="1">
        <f>(F9+L9)/(X9^3)</f>
        <v>89420</v>
      </c>
      <c r="L9" s="1">
        <f>G9/(Y9^3)</f>
        <v>466708</v>
      </c>
      <c r="Q9" s="1">
        <f>D9*4+E9*4+F9*4+G9*4+J9*8+K9*8+L9*8</f>
        <v>20777760</v>
      </c>
      <c r="S9" s="1">
        <f>(Q6-Q9)/Q6</f>
        <v>0.58807527385836578</v>
      </c>
      <c r="W9" s="1">
        <v>5</v>
      </c>
      <c r="X9" s="1">
        <v>2</v>
      </c>
      <c r="Y9" s="1">
        <v>2</v>
      </c>
      <c r="Z9" s="1">
        <v>0.78539816339744795</v>
      </c>
      <c r="AA9" s="3">
        <v>6.4016999008075795E-2</v>
      </c>
      <c r="AB9" s="3">
        <v>4.2371701122442098E-3</v>
      </c>
      <c r="AD9" s="1">
        <f>MAX(S7:S9)</f>
        <v>0.93191922581840303</v>
      </c>
      <c r="AF9" s="1" t="s">
        <v>16</v>
      </c>
    </row>
    <row r="10" spans="1:32" x14ac:dyDescent="0.3">
      <c r="A10" t="s">
        <v>18</v>
      </c>
      <c r="B10">
        <v>1</v>
      </c>
      <c r="C10" t="s">
        <v>15</v>
      </c>
      <c r="D10">
        <v>56642976</v>
      </c>
      <c r="Q10">
        <f>D10*(4)</f>
        <v>226571904</v>
      </c>
    </row>
    <row r="11" spans="1:32" x14ac:dyDescent="0.3">
      <c r="A11" t="s">
        <v>18</v>
      </c>
      <c r="B11">
        <v>2</v>
      </c>
      <c r="C11">
        <v>0.1</v>
      </c>
      <c r="D11">
        <v>443388</v>
      </c>
      <c r="E11">
        <v>3382500</v>
      </c>
      <c r="F11">
        <v>20711</v>
      </c>
      <c r="J11">
        <f>E11/(W11^3)</f>
        <v>27060</v>
      </c>
      <c r="Q11">
        <f>D11*4+E11*4+J11*8</f>
        <v>15520032</v>
      </c>
      <c r="S11">
        <f>(Q10-Q11)/Q10</f>
        <v>0.93150063301758723</v>
      </c>
      <c r="W11">
        <v>5</v>
      </c>
    </row>
    <row r="12" spans="1:32" x14ac:dyDescent="0.3">
      <c r="A12" t="s">
        <v>18</v>
      </c>
      <c r="B12">
        <v>3</v>
      </c>
      <c r="C12">
        <v>0.1</v>
      </c>
      <c r="D12">
        <v>889495</v>
      </c>
      <c r="E12">
        <v>74122</v>
      </c>
      <c r="F12">
        <v>1523184</v>
      </c>
      <c r="G12">
        <v>18521</v>
      </c>
      <c r="J12">
        <f>(E12+K12)/(W12^3)</f>
        <v>33065</v>
      </c>
      <c r="K12">
        <f>F12/(X12^3)</f>
        <v>190398</v>
      </c>
      <c r="Q12">
        <f>D12*4+E12*4+F12*4+J12*8+K12*8</f>
        <v>11734908</v>
      </c>
      <c r="S12">
        <f>(Q10-Q12)/Q10</f>
        <v>0.94820669380083422</v>
      </c>
      <c r="W12">
        <v>2</v>
      </c>
      <c r="X12">
        <v>2</v>
      </c>
    </row>
    <row r="13" spans="1:32" s="1" customFormat="1" x14ac:dyDescent="0.3">
      <c r="A13" s="1" t="s">
        <v>18</v>
      </c>
      <c r="B13" s="1">
        <v>4</v>
      </c>
      <c r="C13" s="1">
        <v>0.5</v>
      </c>
      <c r="D13" s="1">
        <v>114656</v>
      </c>
      <c r="E13" s="1">
        <v>35597</v>
      </c>
      <c r="F13" s="1">
        <v>268921</v>
      </c>
      <c r="G13" s="1">
        <v>3926776</v>
      </c>
      <c r="J13" s="1">
        <f>(E13+K13)/(W13^3)</f>
        <v>16321</v>
      </c>
      <c r="K13" s="1">
        <f>(F13+L13)/(X13^3)</f>
        <v>94971</v>
      </c>
      <c r="L13" s="1">
        <f>G13/(Y13^3)</f>
        <v>490847</v>
      </c>
      <c r="Q13" s="1">
        <f>D13*4+E13*4+F13*4+G13*4+J13*8+K13*8+L13*8</f>
        <v>22200912</v>
      </c>
      <c r="S13" s="1">
        <f>(Q10-Q13)/Q10</f>
        <v>0.9020138348663036</v>
      </c>
      <c r="W13" s="1">
        <v>2</v>
      </c>
      <c r="X13" s="1">
        <v>2</v>
      </c>
      <c r="Y13" s="1">
        <v>2</v>
      </c>
      <c r="Z13" s="1">
        <v>0.78539816339744795</v>
      </c>
      <c r="AA13" s="3">
        <v>3.8749999999999903E-2</v>
      </c>
      <c r="AB13" s="3">
        <v>2.5647928580461899E-3</v>
      </c>
      <c r="AD13" s="1">
        <f>MAX(S11:S13)</f>
        <v>0.94820669380083422</v>
      </c>
      <c r="AF13" s="1" t="s">
        <v>16</v>
      </c>
    </row>
    <row r="14" spans="1:32" x14ac:dyDescent="0.3">
      <c r="A14" t="s">
        <v>19</v>
      </c>
      <c r="B14">
        <v>1</v>
      </c>
      <c r="C14" t="s">
        <v>15</v>
      </c>
      <c r="D14">
        <v>85567824</v>
      </c>
      <c r="Q14">
        <f>D14*(4)</f>
        <v>342271296</v>
      </c>
    </row>
    <row r="15" spans="1:32" x14ac:dyDescent="0.3">
      <c r="A15" t="s">
        <v>19</v>
      </c>
      <c r="B15">
        <v>2</v>
      </c>
      <c r="C15">
        <v>0.1</v>
      </c>
      <c r="D15">
        <v>1313504</v>
      </c>
      <c r="E15">
        <v>3689472</v>
      </c>
      <c r="F15">
        <v>33348</v>
      </c>
      <c r="J15">
        <f>E15/(W15^3)</f>
        <v>57648</v>
      </c>
      <c r="Q15">
        <f>D15*4+E15*4+J15*8</f>
        <v>20473088</v>
      </c>
      <c r="S15">
        <f>(Q14-Q15)/Q14</f>
        <v>0.94018461892872252</v>
      </c>
      <c r="W15">
        <v>4</v>
      </c>
    </row>
    <row r="16" spans="1:32" x14ac:dyDescent="0.3">
      <c r="A16" t="s">
        <v>19</v>
      </c>
      <c r="B16">
        <v>3</v>
      </c>
      <c r="C16">
        <v>0.1</v>
      </c>
      <c r="D16">
        <v>1313504</v>
      </c>
      <c r="E16">
        <v>149768</v>
      </c>
      <c r="F16">
        <v>2491328</v>
      </c>
      <c r="G16">
        <v>33338</v>
      </c>
      <c r="J16">
        <f>(E16+K16)/(W16^3)</f>
        <v>57648</v>
      </c>
      <c r="K16">
        <f>F16/(X16^3)</f>
        <v>311416</v>
      </c>
      <c r="Q16">
        <f>D16*4+E16*4+F16*4+J16*8+K16*8</f>
        <v>18770912</v>
      </c>
      <c r="S16">
        <f>(Q14-Q16)/Q14</f>
        <v>0.94515779669703881</v>
      </c>
      <c r="W16">
        <v>2</v>
      </c>
      <c r="X16">
        <v>2</v>
      </c>
    </row>
    <row r="17" spans="1:32" s="1" customFormat="1" x14ac:dyDescent="0.3">
      <c r="A17" s="1" t="s">
        <v>19</v>
      </c>
      <c r="B17" s="1">
        <v>4</v>
      </c>
      <c r="C17" s="1">
        <v>0.5</v>
      </c>
      <c r="D17" s="1">
        <v>3838</v>
      </c>
      <c r="E17" s="1">
        <v>621272</v>
      </c>
      <c r="F17" s="1">
        <v>1301324</v>
      </c>
      <c r="G17" s="1">
        <v>13316000</v>
      </c>
      <c r="J17" s="1">
        <f>(E17+K17)/(W17^3)</f>
        <v>7936</v>
      </c>
      <c r="K17" s="1">
        <f>(F17+L17)/(X17^3)</f>
        <v>370728</v>
      </c>
      <c r="L17" s="1">
        <f>G17/(Y17^3)</f>
        <v>1664500</v>
      </c>
      <c r="Q17" s="1">
        <f>D17*4+E17*4+F17*4+G17*4+J17*8+K17*8+L17*8</f>
        <v>77315048</v>
      </c>
      <c r="S17" s="1">
        <f>(Q14-Q17)/Q14</f>
        <v>0.7741117969763962</v>
      </c>
      <c r="W17" s="1">
        <v>5</v>
      </c>
      <c r="X17" s="1">
        <v>2</v>
      </c>
      <c r="Y17" s="1">
        <v>2</v>
      </c>
      <c r="Z17" s="1">
        <v>0.78539816339744795</v>
      </c>
      <c r="AA17" s="3">
        <v>3.3789329750677201E-2</v>
      </c>
      <c r="AB17" s="3">
        <v>2.23645500961818E-3</v>
      </c>
      <c r="AD17" s="1">
        <f>MAX(S15:S17)</f>
        <v>0.94515779669703881</v>
      </c>
      <c r="AF17" s="1" t="s">
        <v>16</v>
      </c>
    </row>
    <row r="18" spans="1:32" x14ac:dyDescent="0.3">
      <c r="A18" t="s">
        <v>20</v>
      </c>
      <c r="B18">
        <v>1</v>
      </c>
      <c r="C18" t="s">
        <v>15</v>
      </c>
      <c r="D18">
        <v>190652319</v>
      </c>
      <c r="Q18">
        <f>D18*(4)</f>
        <v>762609276</v>
      </c>
    </row>
    <row r="19" spans="1:32" x14ac:dyDescent="0.3">
      <c r="A19" t="s">
        <v>20</v>
      </c>
      <c r="B19">
        <v>2</v>
      </c>
      <c r="C19">
        <v>0.1</v>
      </c>
      <c r="D19">
        <v>1473291</v>
      </c>
      <c r="E19">
        <v>10236625</v>
      </c>
      <c r="F19">
        <v>57281</v>
      </c>
      <c r="J19">
        <f>E19/(W19^3)</f>
        <v>81893</v>
      </c>
      <c r="Q19">
        <f>D19*4+E19*4+J19*8</f>
        <v>47494808</v>
      </c>
      <c r="S19">
        <f>(Q18-Q19)/Q18</f>
        <v>0.9377206526399503</v>
      </c>
      <c r="W19">
        <v>5</v>
      </c>
    </row>
    <row r="20" spans="1:32" x14ac:dyDescent="0.3">
      <c r="A20" t="s">
        <v>20</v>
      </c>
      <c r="B20">
        <v>3</v>
      </c>
      <c r="C20">
        <v>0.1</v>
      </c>
      <c r="D20">
        <v>2939450</v>
      </c>
      <c r="E20">
        <v>223250</v>
      </c>
      <c r="F20">
        <v>5034800</v>
      </c>
      <c r="G20">
        <v>59136</v>
      </c>
      <c r="J20">
        <f>(E20+K20)/(W20^3)</f>
        <v>106575</v>
      </c>
      <c r="K20">
        <f>F20/(X20^3)</f>
        <v>629350</v>
      </c>
      <c r="Q20">
        <f>D20*4+E20*4+F20*4+J20*8+K20*8</f>
        <v>38677400</v>
      </c>
      <c r="S20">
        <f>(Q18-Q20)/Q18</f>
        <v>0.94928280940553367</v>
      </c>
      <c r="W20">
        <v>2</v>
      </c>
      <c r="X20">
        <v>2</v>
      </c>
    </row>
    <row r="21" spans="1:32" s="1" customFormat="1" x14ac:dyDescent="0.3">
      <c r="A21" s="1" t="s">
        <v>20</v>
      </c>
      <c r="B21" s="1">
        <v>4</v>
      </c>
      <c r="C21" s="1">
        <v>0.5</v>
      </c>
      <c r="D21" s="1">
        <v>339380</v>
      </c>
      <c r="E21" s="1">
        <v>102817</v>
      </c>
      <c r="F21" s="1">
        <v>950973</v>
      </c>
      <c r="G21" s="1">
        <v>11322328</v>
      </c>
      <c r="J21" s="1">
        <f>(E21+K21)/(W21^3)</f>
        <v>49825</v>
      </c>
      <c r="K21" s="1">
        <f>(F21+L21)/(X21^3)</f>
        <v>295783</v>
      </c>
      <c r="L21" s="1">
        <f>G21/(Y21^3)</f>
        <v>1415291</v>
      </c>
      <c r="Q21" s="1">
        <f>D21*4+E21*4+F21*4+G21*4+J21*8+K21*8+L21*8</f>
        <v>64949184</v>
      </c>
      <c r="S21" s="1">
        <f>(Q18-Q21)/Q18</f>
        <v>0.91483294782268032</v>
      </c>
      <c r="W21" s="1">
        <v>2</v>
      </c>
      <c r="X21" s="1">
        <v>2</v>
      </c>
      <c r="Y21" s="1">
        <v>2</v>
      </c>
      <c r="Z21" s="1">
        <v>0.78539816339744795</v>
      </c>
      <c r="AA21" s="3">
        <v>2.5832999999999901E-2</v>
      </c>
      <c r="AB21" s="3">
        <v>1.7098398426298601E-3</v>
      </c>
      <c r="AD21" s="1">
        <f>MAX(S19:S21)</f>
        <v>0.94928280940553367</v>
      </c>
      <c r="AF21" s="1" t="s">
        <v>16</v>
      </c>
    </row>
    <row r="22" spans="1:32" x14ac:dyDescent="0.3">
      <c r="A22" t="s">
        <v>21</v>
      </c>
      <c r="B22">
        <v>1</v>
      </c>
      <c r="C22" t="s">
        <v>15</v>
      </c>
      <c r="D22">
        <v>115644672</v>
      </c>
      <c r="Q22">
        <f>D22*(4)</f>
        <v>462578688</v>
      </c>
    </row>
    <row r="23" spans="1:32" x14ac:dyDescent="0.3">
      <c r="A23" t="s">
        <v>21</v>
      </c>
      <c r="B23">
        <v>2</v>
      </c>
      <c r="C23">
        <v>0.1</v>
      </c>
      <c r="D23">
        <v>222856</v>
      </c>
      <c r="E23">
        <v>7322624</v>
      </c>
      <c r="F23">
        <v>25320</v>
      </c>
      <c r="J23">
        <f>E23/(W23^3)</f>
        <v>14302</v>
      </c>
      <c r="Q23">
        <f>D23*4+E23*4+J23*8</f>
        <v>30296336</v>
      </c>
      <c r="S23">
        <f>(Q22-Q23)/Q22</f>
        <v>0.93450555162627813</v>
      </c>
      <c r="W23">
        <v>8</v>
      </c>
    </row>
    <row r="24" spans="1:32" x14ac:dyDescent="0.3">
      <c r="A24" t="s">
        <v>21</v>
      </c>
      <c r="B24">
        <v>3</v>
      </c>
      <c r="C24">
        <v>0.1</v>
      </c>
      <c r="D24">
        <v>1867876</v>
      </c>
      <c r="E24">
        <v>71542</v>
      </c>
      <c r="F24">
        <v>1308496</v>
      </c>
      <c r="G24">
        <v>24654</v>
      </c>
      <c r="J24">
        <f>(E24+K24)/(W24^3)</f>
        <v>29388</v>
      </c>
      <c r="K24">
        <f>F24/(X24^3)</f>
        <v>163562</v>
      </c>
      <c r="Q24">
        <f>D24*4+E24*4+F24*4+J24*8+K24*8</f>
        <v>14535256</v>
      </c>
      <c r="S24">
        <f>(Q22-Q24)/Q22</f>
        <v>0.968577765519539</v>
      </c>
      <c r="W24">
        <v>2</v>
      </c>
      <c r="X24">
        <v>2</v>
      </c>
    </row>
    <row r="25" spans="1:32" s="1" customFormat="1" x14ac:dyDescent="0.3">
      <c r="A25" s="1" t="s">
        <v>21</v>
      </c>
      <c r="B25" s="1">
        <v>4</v>
      </c>
      <c r="C25" s="1">
        <v>0.5</v>
      </c>
      <c r="D25" s="1">
        <v>241284</v>
      </c>
      <c r="E25" s="1">
        <v>40750</v>
      </c>
      <c r="F25" s="1">
        <v>238341</v>
      </c>
      <c r="G25" s="1">
        <v>2957912</v>
      </c>
      <c r="J25" s="1">
        <f>(E25+K25)/(W25^3)</f>
        <v>14595</v>
      </c>
      <c r="K25" s="1">
        <f>(F25+L25)/(X25^3)</f>
        <v>76010</v>
      </c>
      <c r="L25" s="1">
        <f>G25/(Y25^3)</f>
        <v>369739</v>
      </c>
      <c r="Q25" s="1">
        <f>D25*4+E25*4+F25*4+G25*4+J25*8+K25*8+L25*8</f>
        <v>17595900</v>
      </c>
      <c r="S25" s="1">
        <f>(Q22-Q25)/Q22</f>
        <v>0.96196128257426339</v>
      </c>
      <c r="W25" s="1">
        <v>2</v>
      </c>
      <c r="X25" s="1">
        <v>2</v>
      </c>
      <c r="Y25" s="1">
        <v>2</v>
      </c>
      <c r="Z25" s="1">
        <v>0.52114092913867305</v>
      </c>
      <c r="AA25" s="3">
        <v>5.16659999999999E-2</v>
      </c>
      <c r="AB25" s="3">
        <v>2.0224503326827801E-3</v>
      </c>
      <c r="AD25" s="1">
        <f>MAX(S23:S25)</f>
        <v>0.968577765519539</v>
      </c>
      <c r="AF25" s="1" t="s">
        <v>22</v>
      </c>
    </row>
    <row r="26" spans="1:32" x14ac:dyDescent="0.3">
      <c r="A26" t="s">
        <v>23</v>
      </c>
      <c r="B26">
        <v>1</v>
      </c>
      <c r="C26" t="s">
        <v>15</v>
      </c>
      <c r="D26">
        <v>142771959</v>
      </c>
      <c r="Q26">
        <f>D26*(4)</f>
        <v>571087836</v>
      </c>
    </row>
    <row r="27" spans="1:32" x14ac:dyDescent="0.3">
      <c r="A27" t="s">
        <v>23</v>
      </c>
      <c r="B27">
        <v>2</v>
      </c>
      <c r="C27">
        <v>0.1</v>
      </c>
      <c r="D27">
        <v>401476</v>
      </c>
      <c r="E27">
        <v>7703780</v>
      </c>
      <c r="F27">
        <v>38496</v>
      </c>
      <c r="J27">
        <f>E27/(W27^3)</f>
        <v>22460</v>
      </c>
      <c r="Q27">
        <f>D27*4+E27*4+J27*8</f>
        <v>32600704</v>
      </c>
      <c r="S27">
        <f>(Q26-Q27)/Q26</f>
        <v>0.94291472879488891</v>
      </c>
      <c r="W27">
        <v>7</v>
      </c>
    </row>
    <row r="28" spans="1:32" x14ac:dyDescent="0.3">
      <c r="A28" t="s">
        <v>23</v>
      </c>
      <c r="B28">
        <v>3</v>
      </c>
      <c r="C28">
        <v>0.1</v>
      </c>
      <c r="D28">
        <v>650530</v>
      </c>
      <c r="E28">
        <v>344406</v>
      </c>
      <c r="F28">
        <v>3043488</v>
      </c>
      <c r="G28">
        <v>38632</v>
      </c>
      <c r="J28">
        <f>(E28+K28)/(W28^3)</f>
        <v>26846</v>
      </c>
      <c r="K28">
        <f>F28/(X28^3)</f>
        <v>380436</v>
      </c>
      <c r="Q28">
        <f>D28*4+E28*4+F28*4+J28*8+K28*8</f>
        <v>19411952</v>
      </c>
      <c r="S28">
        <f>(Q26-Q28)/Q26</f>
        <v>0.96600881549856721</v>
      </c>
      <c r="W28">
        <v>3</v>
      </c>
      <c r="X28">
        <v>2</v>
      </c>
    </row>
    <row r="29" spans="1:32" s="1" customFormat="1" x14ac:dyDescent="0.3">
      <c r="A29" s="1" t="s">
        <v>23</v>
      </c>
      <c r="B29" s="1">
        <v>4</v>
      </c>
      <c r="C29" s="1">
        <v>0.5</v>
      </c>
      <c r="D29" s="1">
        <v>276678</v>
      </c>
      <c r="E29" s="1">
        <v>46018</v>
      </c>
      <c r="F29" s="1">
        <v>327100</v>
      </c>
      <c r="G29" s="1">
        <v>4511136</v>
      </c>
      <c r="J29" s="1">
        <f>(E29+K29)/(W29^3)</f>
        <v>19674</v>
      </c>
      <c r="K29" s="1">
        <f>(F29+L29)/(X29^3)</f>
        <v>111374</v>
      </c>
      <c r="L29" s="1">
        <f>G29/(Y29^3)</f>
        <v>563892</v>
      </c>
      <c r="Q29" s="1">
        <f>D29*4+E29*4+F29*4+G29*4+J29*8+K29*8+L29*8</f>
        <v>26203248</v>
      </c>
      <c r="S29" s="1">
        <f>(Q26-Q29)/Q26</f>
        <v>0.95411695653766293</v>
      </c>
      <c r="W29" s="1">
        <v>2</v>
      </c>
      <c r="X29" s="1">
        <v>2</v>
      </c>
      <c r="Y29" s="1">
        <v>2</v>
      </c>
      <c r="Z29" s="1">
        <v>0.487077586777516</v>
      </c>
      <c r="AA29" s="3">
        <v>5.6316868782275098E-2</v>
      </c>
      <c r="AB29" s="3">
        <v>1.8853437816558399E-3</v>
      </c>
      <c r="AD29" s="1">
        <f>MAX(S27:S29)</f>
        <v>0.96600881549856721</v>
      </c>
      <c r="AF29" s="1" t="s">
        <v>22</v>
      </c>
    </row>
    <row r="30" spans="1:32" x14ac:dyDescent="0.3">
      <c r="A30" t="s">
        <v>24</v>
      </c>
      <c r="B30">
        <v>1</v>
      </c>
      <c r="C30" t="s">
        <v>15</v>
      </c>
      <c r="D30">
        <v>204097244</v>
      </c>
      <c r="Q30">
        <f>D30*(4)</f>
        <v>816388976</v>
      </c>
    </row>
    <row r="31" spans="1:32" x14ac:dyDescent="0.3">
      <c r="A31" t="s">
        <v>24</v>
      </c>
      <c r="B31">
        <v>2</v>
      </c>
      <c r="C31">
        <v>0.1</v>
      </c>
      <c r="D31">
        <v>924631</v>
      </c>
      <c r="E31">
        <v>9461880</v>
      </c>
      <c r="F31">
        <v>61873</v>
      </c>
      <c r="J31">
        <f>E31/(W31^3)</f>
        <v>43805</v>
      </c>
      <c r="Q31">
        <f>D31*4+E31*4+J31*8</f>
        <v>41896484</v>
      </c>
      <c r="S31">
        <f>(Q30-Q31)/Q30</f>
        <v>0.94868073279813614</v>
      </c>
      <c r="W31">
        <v>6</v>
      </c>
    </row>
    <row r="32" spans="1:32" x14ac:dyDescent="0.3">
      <c r="A32" t="s">
        <v>24</v>
      </c>
      <c r="B32">
        <v>3</v>
      </c>
      <c r="C32">
        <v>0.1</v>
      </c>
      <c r="D32">
        <v>924631</v>
      </c>
      <c r="E32">
        <v>533022</v>
      </c>
      <c r="F32">
        <v>5197704</v>
      </c>
      <c r="G32">
        <v>61747</v>
      </c>
      <c r="J32">
        <f>(E32+K32)/(W32^3)</f>
        <v>43805</v>
      </c>
      <c r="K32">
        <f>F32/(X32^3)</f>
        <v>649713</v>
      </c>
      <c r="Q32">
        <f>D32*4+E32*4+F32*4+J32*8+K32*8</f>
        <v>32169572</v>
      </c>
      <c r="S32">
        <f>(Q30-Q32)/Q30</f>
        <v>0.96059528858704235</v>
      </c>
      <c r="W32">
        <v>3</v>
      </c>
      <c r="X32">
        <v>2</v>
      </c>
    </row>
    <row r="33" spans="1:32" s="1" customFormat="1" x14ac:dyDescent="0.3">
      <c r="A33" s="1" t="s">
        <v>24</v>
      </c>
      <c r="B33" s="1">
        <v>4</v>
      </c>
      <c r="C33" s="1">
        <v>0.5</v>
      </c>
      <c r="D33" s="1">
        <v>410412</v>
      </c>
      <c r="E33" s="1">
        <v>85034</v>
      </c>
      <c r="F33" s="1">
        <v>530756</v>
      </c>
      <c r="G33" s="1">
        <v>6673248</v>
      </c>
      <c r="J33" s="1">
        <f>(E33+K33)/(W33^3)</f>
        <v>31956</v>
      </c>
      <c r="K33" s="1">
        <f>(F33+L33)/(X33^3)</f>
        <v>170614</v>
      </c>
      <c r="L33" s="1">
        <f>G33/(Y33^3)</f>
        <v>834156</v>
      </c>
      <c r="Q33" s="1">
        <f>D33*4+E33*4+F33*4+G33*4+J33*8+K33*8+L33*8</f>
        <v>39091608</v>
      </c>
      <c r="S33" s="1">
        <f>(Q30-Q33)/Q30</f>
        <v>0.95211644308141663</v>
      </c>
      <c r="W33" s="1">
        <v>2</v>
      </c>
      <c r="X33" s="1">
        <v>2</v>
      </c>
      <c r="Y33" s="1">
        <v>2</v>
      </c>
      <c r="Z33" s="1">
        <v>0.53939230738367705</v>
      </c>
      <c r="AA33" s="3">
        <v>4.0554300803244001E-2</v>
      </c>
      <c r="AB33" s="3">
        <v>1.6715192031097001E-3</v>
      </c>
      <c r="AD33" s="1">
        <f>MAX(S31:S33)</f>
        <v>0.96059528858704235</v>
      </c>
      <c r="AF33" s="1" t="s">
        <v>22</v>
      </c>
    </row>
    <row r="34" spans="1:32" x14ac:dyDescent="0.3">
      <c r="A34" t="s">
        <v>25</v>
      </c>
      <c r="B34">
        <v>1</v>
      </c>
      <c r="C34" t="s">
        <v>15</v>
      </c>
      <c r="D34">
        <v>368270388</v>
      </c>
      <c r="Q34">
        <f>D34*(4)</f>
        <v>1473081552</v>
      </c>
    </row>
    <row r="35" spans="1:32" x14ac:dyDescent="0.3">
      <c r="A35" t="s">
        <v>25</v>
      </c>
      <c r="B35">
        <v>2</v>
      </c>
      <c r="C35">
        <v>0.1</v>
      </c>
      <c r="D35">
        <v>1682267</v>
      </c>
      <c r="E35">
        <v>15706872</v>
      </c>
      <c r="F35">
        <v>91833</v>
      </c>
      <c r="J35">
        <f>E35/(W35^3)</f>
        <v>72717</v>
      </c>
      <c r="Q35">
        <f>D35*4+E35*4+J35*8</f>
        <v>70138292</v>
      </c>
      <c r="S35">
        <f>(Q34-Q35)/Q34</f>
        <v>0.95238668768557089</v>
      </c>
      <c r="W35">
        <v>6</v>
      </c>
    </row>
    <row r="36" spans="1:32" x14ac:dyDescent="0.3">
      <c r="A36" t="s">
        <v>25</v>
      </c>
      <c r="B36">
        <v>3</v>
      </c>
      <c r="C36">
        <v>0.1</v>
      </c>
      <c r="D36">
        <v>1682267</v>
      </c>
      <c r="E36">
        <v>908128</v>
      </c>
      <c r="F36">
        <v>8441848</v>
      </c>
      <c r="G36">
        <v>91557</v>
      </c>
      <c r="J36">
        <f>(E36+K36)/(W36^3)</f>
        <v>72717</v>
      </c>
      <c r="K36">
        <f>F36/(X36^3)</f>
        <v>1055231</v>
      </c>
      <c r="Q36">
        <f>D36*4+E36*4+F36*4+J36*8+K36*8</f>
        <v>53152556</v>
      </c>
      <c r="S36">
        <f>(Q34-Q36)/Q34</f>
        <v>0.96391743829264931</v>
      </c>
      <c r="W36">
        <v>3</v>
      </c>
      <c r="X36">
        <v>2</v>
      </c>
    </row>
    <row r="37" spans="1:32" s="1" customFormat="1" x14ac:dyDescent="0.3">
      <c r="A37" s="1" t="s">
        <v>25</v>
      </c>
      <c r="B37" s="1">
        <v>4</v>
      </c>
      <c r="C37" s="1">
        <v>0.5</v>
      </c>
      <c r="D37" s="1">
        <v>724721</v>
      </c>
      <c r="E37" s="1">
        <v>135069</v>
      </c>
      <c r="F37" s="1">
        <v>963498</v>
      </c>
      <c r="G37" s="1">
        <v>12090224</v>
      </c>
      <c r="J37" s="1">
        <f>(E37+K37)/(W37^3)</f>
        <v>55552</v>
      </c>
      <c r="K37" s="1">
        <f>(F37+L37)/(X37^3)</f>
        <v>309347</v>
      </c>
      <c r="L37" s="1">
        <f>G37/(Y37^3)</f>
        <v>1511278</v>
      </c>
      <c r="Q37" s="1">
        <f>D37*4+E37*4+F37*4+G37*4+J37*8+K37*8+L37*8</f>
        <v>70663464</v>
      </c>
      <c r="S37" s="1">
        <f>(Q34-Q37)/Q34</f>
        <v>0.95203017517661503</v>
      </c>
      <c r="W37" s="1">
        <v>2</v>
      </c>
      <c r="X37" s="1">
        <v>2</v>
      </c>
      <c r="Y37" s="1">
        <v>2</v>
      </c>
      <c r="Z37" s="1">
        <v>0.56908830585302494</v>
      </c>
      <c r="AA37" s="3">
        <v>3.0999999999999899E-2</v>
      </c>
      <c r="AB37" s="3">
        <v>1.3737232755338599E-3</v>
      </c>
      <c r="AD37" s="1">
        <f>MAX(S35:S37)</f>
        <v>0.96391743829264931</v>
      </c>
      <c r="AF37" s="1" t="s">
        <v>22</v>
      </c>
    </row>
    <row r="38" spans="1:32" x14ac:dyDescent="0.3">
      <c r="A38" t="s">
        <v>26</v>
      </c>
      <c r="B38">
        <v>1</v>
      </c>
      <c r="C38" t="s">
        <v>15</v>
      </c>
      <c r="D38">
        <v>253254600</v>
      </c>
      <c r="Q38">
        <f>D38*(4)</f>
        <v>1013018400</v>
      </c>
    </row>
    <row r="39" spans="1:32" x14ac:dyDescent="0.3">
      <c r="A39" t="s">
        <v>26</v>
      </c>
      <c r="B39">
        <v>2</v>
      </c>
      <c r="C39">
        <v>0.03</v>
      </c>
      <c r="D39">
        <v>730871</v>
      </c>
      <c r="E39">
        <v>7774095</v>
      </c>
      <c r="F39">
        <v>28044</v>
      </c>
      <c r="J39">
        <f>E39/(W39^3)</f>
        <v>22665</v>
      </c>
      <c r="Q39">
        <f>D39*4+E39*4+J39*8</f>
        <v>34201184</v>
      </c>
      <c r="S39">
        <f>(Q38-Q39)/Q38</f>
        <v>0.9662383388100354</v>
      </c>
      <c r="W39">
        <v>7</v>
      </c>
    </row>
    <row r="40" spans="1:32" x14ac:dyDescent="0.3">
      <c r="A40" t="s">
        <v>26</v>
      </c>
      <c r="B40">
        <v>3</v>
      </c>
      <c r="C40">
        <v>0.05</v>
      </c>
      <c r="D40">
        <v>4078765</v>
      </c>
      <c r="E40">
        <v>85645</v>
      </c>
      <c r="F40">
        <v>1952856</v>
      </c>
      <c r="G40">
        <v>27479</v>
      </c>
      <c r="J40">
        <f>(E40+K40)/(W40^3)</f>
        <v>41219</v>
      </c>
      <c r="K40">
        <f>F40/(X40^3)</f>
        <v>244107</v>
      </c>
      <c r="Q40">
        <f>D40*4+E40*4+F40*4+J40*8+K40*8</f>
        <v>26751672</v>
      </c>
      <c r="S40">
        <f>(Q38-Q40)/Q38</f>
        <v>0.97359211639196286</v>
      </c>
      <c r="W40">
        <v>2</v>
      </c>
      <c r="X40">
        <v>2</v>
      </c>
    </row>
    <row r="41" spans="1:32" s="1" customFormat="1" x14ac:dyDescent="0.3">
      <c r="A41" s="1" t="s">
        <v>26</v>
      </c>
      <c r="B41" s="1">
        <v>4</v>
      </c>
      <c r="C41" s="1">
        <v>0.2</v>
      </c>
      <c r="D41" s="1">
        <v>510964</v>
      </c>
      <c r="E41" s="1">
        <v>44219</v>
      </c>
      <c r="F41" s="1">
        <v>343282</v>
      </c>
      <c r="G41" s="1">
        <v>4479408</v>
      </c>
      <c r="J41" s="1">
        <f>(E41+K41)/(W41^3)</f>
        <v>19640</v>
      </c>
      <c r="K41" s="1">
        <f>(F41+L41)/(X41^3)</f>
        <v>112901</v>
      </c>
      <c r="L41" s="1">
        <f>G41/(Y41^3)</f>
        <v>559926</v>
      </c>
      <c r="Q41" s="1">
        <f>D41*4+E41*4+F41*4+G41*4+J41*8+K41*8+L41*8</f>
        <v>27051228</v>
      </c>
      <c r="S41" s="1">
        <f>(Q38-Q41)/Q38</f>
        <v>0.97329641001584966</v>
      </c>
      <c r="W41" s="1">
        <v>2</v>
      </c>
      <c r="X41" s="1">
        <v>2</v>
      </c>
      <c r="Y41" s="1">
        <v>2</v>
      </c>
      <c r="Z41" s="1">
        <v>0.297349707485768</v>
      </c>
      <c r="AA41" s="1">
        <v>0.15743166769821099</v>
      </c>
      <c r="AB41" s="3">
        <v>1.55707969494433E-3</v>
      </c>
      <c r="AD41" s="1">
        <f>MAX(S39:S41)</f>
        <v>0.97359211639196286</v>
      </c>
      <c r="AF41" s="1" t="s">
        <v>27</v>
      </c>
    </row>
    <row r="42" spans="1:32" x14ac:dyDescent="0.3">
      <c r="A42" t="s">
        <v>28</v>
      </c>
      <c r="B42">
        <v>1</v>
      </c>
      <c r="C42" t="s">
        <v>15</v>
      </c>
      <c r="D42">
        <v>108636411</v>
      </c>
      <c r="Q42">
        <f>D42*(4)</f>
        <v>434545644</v>
      </c>
    </row>
    <row r="43" spans="1:32" x14ac:dyDescent="0.3">
      <c r="A43" t="s">
        <v>28</v>
      </c>
      <c r="B43">
        <v>2</v>
      </c>
      <c r="C43">
        <v>0.03</v>
      </c>
      <c r="D43">
        <v>1684472</v>
      </c>
      <c r="E43">
        <v>3058816</v>
      </c>
      <c r="F43">
        <v>43533</v>
      </c>
      <c r="J43">
        <f>E43/(W43^3)</f>
        <v>47794</v>
      </c>
      <c r="Q43">
        <f>D43*4+E43*4+J43*8</f>
        <v>19355504</v>
      </c>
      <c r="S43">
        <f>(Q42-Q43)/Q42</f>
        <v>0.9554580646078229</v>
      </c>
      <c r="W43">
        <v>4</v>
      </c>
    </row>
    <row r="44" spans="1:32" x14ac:dyDescent="0.3">
      <c r="A44" t="s">
        <v>28</v>
      </c>
      <c r="B44">
        <v>3</v>
      </c>
      <c r="C44">
        <v>0.05</v>
      </c>
      <c r="D44">
        <v>479179</v>
      </c>
      <c r="E44">
        <v>357503</v>
      </c>
      <c r="F44">
        <v>3753248</v>
      </c>
      <c r="G44">
        <v>43533</v>
      </c>
      <c r="J44">
        <f>(E44+K44)/(W44^3)</f>
        <v>30617</v>
      </c>
      <c r="K44">
        <f>F44/(X44^3)</f>
        <v>469156</v>
      </c>
      <c r="Q44">
        <f>D44*4+E44*4+F44*4+J44*8+K44*8</f>
        <v>22357904</v>
      </c>
      <c r="S44">
        <f>(Q42-Q44)/Q42</f>
        <v>0.94854877891722689</v>
      </c>
      <c r="W44">
        <v>3</v>
      </c>
      <c r="X44">
        <v>2</v>
      </c>
    </row>
    <row r="45" spans="1:32" s="1" customFormat="1" x14ac:dyDescent="0.3">
      <c r="A45" s="1" t="s">
        <v>28</v>
      </c>
      <c r="B45" s="1">
        <v>4</v>
      </c>
      <c r="C45" s="1">
        <v>0.2</v>
      </c>
      <c r="D45" s="1">
        <v>214748</v>
      </c>
      <c r="E45" s="1">
        <v>43524</v>
      </c>
      <c r="F45" s="1">
        <v>406260</v>
      </c>
      <c r="G45" s="1">
        <v>5498720</v>
      </c>
      <c r="J45" s="1">
        <f>(E45+K45)/(W45^3)</f>
        <v>22528</v>
      </c>
      <c r="K45" s="1">
        <f>(F45+L45)/(X45^3)</f>
        <v>136700</v>
      </c>
      <c r="L45" s="1">
        <f>G45/(Y45^3)</f>
        <v>687340</v>
      </c>
      <c r="Q45" s="1">
        <f>D45*4+E45*4+F45*4+G45*4+J45*8+K45*8+L45*8</f>
        <v>31425552</v>
      </c>
      <c r="S45" s="1">
        <f>(Q42-Q45)/Q42</f>
        <v>0.92768181562993646</v>
      </c>
      <c r="W45" s="1">
        <v>2</v>
      </c>
      <c r="X45" s="1">
        <v>2</v>
      </c>
      <c r="Y45" s="1">
        <v>2</v>
      </c>
      <c r="Z45" s="1">
        <v>0.33972535498222101</v>
      </c>
      <c r="AA45" s="1">
        <v>0.14848399999999901</v>
      </c>
      <c r="AB45" s="3">
        <v>2.06492098243027E-3</v>
      </c>
      <c r="AD45" s="1">
        <f>MAX(S43:S45)</f>
        <v>0.9554580646078229</v>
      </c>
      <c r="AF45" s="1" t="s">
        <v>27</v>
      </c>
    </row>
    <row r="46" spans="1:32" x14ac:dyDescent="0.3">
      <c r="A46" t="s">
        <v>29</v>
      </c>
      <c r="B46">
        <v>1</v>
      </c>
      <c r="C46" t="s">
        <v>15</v>
      </c>
      <c r="D46">
        <v>50776776</v>
      </c>
      <c r="Q46">
        <f>D46*(4)</f>
        <v>203107104</v>
      </c>
    </row>
    <row r="47" spans="1:32" x14ac:dyDescent="0.3">
      <c r="A47" t="s">
        <v>29</v>
      </c>
      <c r="B47">
        <v>2</v>
      </c>
      <c r="C47">
        <v>0.03</v>
      </c>
      <c r="D47">
        <v>1885110</v>
      </c>
      <c r="E47">
        <v>1661229</v>
      </c>
      <c r="F47">
        <v>46003</v>
      </c>
      <c r="J47">
        <f>E47/(W47^3)</f>
        <v>61527</v>
      </c>
      <c r="Q47">
        <f>D47*4+E47*4+J47*8</f>
        <v>14677572</v>
      </c>
      <c r="S47">
        <f>(Q46-Q47)/Q46</f>
        <v>0.92773481719280482</v>
      </c>
      <c r="W47">
        <v>3</v>
      </c>
    </row>
    <row r="48" spans="1:32" x14ac:dyDescent="0.3">
      <c r="A48" t="s">
        <v>29</v>
      </c>
      <c r="B48">
        <v>3</v>
      </c>
      <c r="C48">
        <v>0.05</v>
      </c>
      <c r="D48">
        <v>762257</v>
      </c>
      <c r="E48">
        <v>92879</v>
      </c>
      <c r="F48">
        <v>2131848</v>
      </c>
      <c r="G48">
        <v>46537</v>
      </c>
      <c r="J48">
        <f>(E48+K48)/(W48^3)</f>
        <v>44920</v>
      </c>
      <c r="K48">
        <f>F48/(X48^3)</f>
        <v>266481</v>
      </c>
      <c r="Q48">
        <f>D48*4+E48*4+F48*4+J48*8+K48*8</f>
        <v>14439144</v>
      </c>
      <c r="S48">
        <f>(Q46-Q48)/Q46</f>
        <v>0.9289087200022309</v>
      </c>
      <c r="W48">
        <v>2</v>
      </c>
      <c r="X48">
        <v>2</v>
      </c>
    </row>
    <row r="49" spans="1:32" s="1" customFormat="1" x14ac:dyDescent="0.3">
      <c r="A49" s="1" t="s">
        <v>29</v>
      </c>
      <c r="B49" s="1">
        <v>4</v>
      </c>
      <c r="C49" s="1">
        <v>0.2</v>
      </c>
      <c r="D49" s="1">
        <v>1758</v>
      </c>
      <c r="E49" s="1">
        <v>341548</v>
      </c>
      <c r="F49" s="1">
        <v>966685</v>
      </c>
      <c r="G49" s="1">
        <v>11639448</v>
      </c>
      <c r="J49" s="1">
        <f>(E49+K49)/(W49^3)</f>
        <v>5154</v>
      </c>
      <c r="K49" s="1">
        <f>(F49+L49)/(X49^3)</f>
        <v>302702</v>
      </c>
      <c r="L49" s="1">
        <f>G49/(Y49^3)</f>
        <v>1454931</v>
      </c>
      <c r="Q49" s="1">
        <f>D49*4+E49*4+F49*4+G49*4+J49*8+K49*8+L49*8</f>
        <v>65900052</v>
      </c>
      <c r="S49" s="1">
        <f>(Q46-Q49)/Q46</f>
        <v>0.67554038877931122</v>
      </c>
      <c r="W49" s="1">
        <v>5</v>
      </c>
      <c r="X49" s="1">
        <v>2</v>
      </c>
      <c r="Y49" s="1">
        <v>2</v>
      </c>
      <c r="Z49" s="1">
        <v>0.39418216690987401</v>
      </c>
      <c r="AA49" s="1">
        <v>0.13217660000000001</v>
      </c>
      <c r="AB49" s="3">
        <v>2.66342612607373E-3</v>
      </c>
      <c r="AD49" s="1">
        <f>MAX(S47:S49)</f>
        <v>0.9289087200022309</v>
      </c>
      <c r="AF49" s="1" t="s">
        <v>27</v>
      </c>
    </row>
    <row r="50" spans="1:32" x14ac:dyDescent="0.3">
      <c r="A50" t="s">
        <v>30</v>
      </c>
      <c r="B50">
        <v>1</v>
      </c>
      <c r="C50" t="s">
        <v>15</v>
      </c>
      <c r="D50">
        <v>1535796416</v>
      </c>
      <c r="Q50">
        <f>D50*(4)</f>
        <v>6143185664</v>
      </c>
    </row>
    <row r="51" spans="1:32" x14ac:dyDescent="0.3">
      <c r="A51" t="s">
        <v>30</v>
      </c>
      <c r="B51">
        <v>2</v>
      </c>
      <c r="C51">
        <v>0.03</v>
      </c>
      <c r="D51">
        <v>7002250</v>
      </c>
      <c r="E51">
        <v>42511392</v>
      </c>
      <c r="F51">
        <v>217902</v>
      </c>
      <c r="J51">
        <f>E51/(W51^3)</f>
        <v>196812</v>
      </c>
      <c r="Q51">
        <f>D51*4+E51*4+J51*8</f>
        <v>199629064</v>
      </c>
      <c r="S51">
        <f>(Q50-Q51)/Q50</f>
        <v>0.9675039832883684</v>
      </c>
      <c r="W51">
        <v>6</v>
      </c>
    </row>
    <row r="52" spans="1:32" x14ac:dyDescent="0.3">
      <c r="A52" t="s">
        <v>30</v>
      </c>
      <c r="B52">
        <v>3</v>
      </c>
      <c r="C52">
        <v>0.05</v>
      </c>
      <c r="D52">
        <v>1443444</v>
      </c>
      <c r="E52">
        <v>8433852</v>
      </c>
      <c r="F52">
        <v>44269184</v>
      </c>
      <c r="G52">
        <v>218700</v>
      </c>
      <c r="J52">
        <f>(E52+K52)/(W52^3)</f>
        <v>111740</v>
      </c>
      <c r="K52">
        <f>F52/(X52^3)</f>
        <v>5533648</v>
      </c>
      <c r="Q52">
        <f>D52*4+E52*4+F52*4+J52*8+K52*8</f>
        <v>261749024</v>
      </c>
      <c r="S52">
        <f>(Q50-Q52)/Q50</f>
        <v>0.95739197245268215</v>
      </c>
      <c r="W52">
        <v>5</v>
      </c>
      <c r="X52">
        <v>2</v>
      </c>
    </row>
    <row r="53" spans="1:32" s="1" customFormat="1" x14ac:dyDescent="0.3">
      <c r="A53" s="1" t="s">
        <v>30</v>
      </c>
      <c r="B53" s="1">
        <v>4</v>
      </c>
      <c r="C53" s="1">
        <v>0.2</v>
      </c>
      <c r="D53" s="1">
        <v>2969306</v>
      </c>
      <c r="E53" s="1">
        <v>275621</v>
      </c>
      <c r="F53" s="1">
        <v>2724230</v>
      </c>
      <c r="G53" s="1">
        <v>34465424</v>
      </c>
      <c r="J53" s="1">
        <f>(E53+K53)/(W53^3)</f>
        <v>144334</v>
      </c>
      <c r="K53" s="1">
        <f>(F53+L53)/(X53^3)</f>
        <v>879051</v>
      </c>
      <c r="L53" s="1">
        <f>G53/(Y53^3)</f>
        <v>4308178</v>
      </c>
      <c r="Q53" s="1">
        <f>D53*4+E53*4+F53*4+G53*4+J53*8+K53*8+L53*8</f>
        <v>204390828</v>
      </c>
      <c r="S53" s="1">
        <f>(Q50-Q53)/Q50</f>
        <v>0.96672885385871354</v>
      </c>
      <c r="W53" s="1">
        <v>2</v>
      </c>
      <c r="X53" s="1">
        <v>2</v>
      </c>
      <c r="Y53" s="1">
        <v>2</v>
      </c>
      <c r="Z53" s="1">
        <v>0.31498465453660102</v>
      </c>
      <c r="AA53" s="3">
        <v>7.4375212050190403E-2</v>
      </c>
      <c r="AB53" s="3">
        <v>8.5319549956292603E-4</v>
      </c>
      <c r="AD53" s="1">
        <f>MAX(S51:S53)</f>
        <v>0.9675039832883684</v>
      </c>
      <c r="AF53" s="1" t="s">
        <v>27</v>
      </c>
    </row>
    <row r="54" spans="1:32" x14ac:dyDescent="0.3">
      <c r="A54" t="s">
        <v>31</v>
      </c>
      <c r="B54">
        <v>1</v>
      </c>
      <c r="C54" t="s">
        <v>15</v>
      </c>
      <c r="D54">
        <v>829250757</v>
      </c>
      <c r="Q54">
        <f>D54*(4)</f>
        <v>3317003028</v>
      </c>
    </row>
    <row r="55" spans="1:32" x14ac:dyDescent="0.3">
      <c r="A55" t="s">
        <v>31</v>
      </c>
      <c r="B55">
        <v>2</v>
      </c>
      <c r="C55">
        <v>0.03</v>
      </c>
      <c r="D55">
        <v>12750598</v>
      </c>
      <c r="E55">
        <v>18940544</v>
      </c>
      <c r="F55">
        <v>237849</v>
      </c>
      <c r="J55">
        <f>E55/(W55^3)</f>
        <v>295946</v>
      </c>
      <c r="Q55">
        <f>D55*4+E55*4+J55*8</f>
        <v>129132136</v>
      </c>
      <c r="S55">
        <f>(Q54-Q55)/Q54</f>
        <v>0.9610696357796632</v>
      </c>
      <c r="W55">
        <v>4</v>
      </c>
    </row>
    <row r="56" spans="1:32" x14ac:dyDescent="0.3">
      <c r="A56" t="s">
        <v>31</v>
      </c>
      <c r="B56">
        <v>3</v>
      </c>
      <c r="C56">
        <v>0.05</v>
      </c>
      <c r="D56">
        <v>13018266</v>
      </c>
      <c r="E56">
        <v>575051</v>
      </c>
      <c r="F56">
        <v>14440744</v>
      </c>
      <c r="G56">
        <v>238577</v>
      </c>
      <c r="J56">
        <f>(E56+K56)/(W56^3)</f>
        <v>297518</v>
      </c>
      <c r="K56">
        <f>F56/(X56^3)</f>
        <v>1805093</v>
      </c>
      <c r="Q56">
        <f>D56*4+E56*4+F56*4+J56*8+K56*8</f>
        <v>128957132</v>
      </c>
      <c r="S56">
        <f>(Q54-Q56)/Q54</f>
        <v>0.96112239545414124</v>
      </c>
      <c r="W56">
        <v>2</v>
      </c>
      <c r="X56">
        <v>2</v>
      </c>
    </row>
    <row r="57" spans="1:32" s="1" customFormat="1" x14ac:dyDescent="0.3">
      <c r="A57" s="1" t="s">
        <v>31</v>
      </c>
      <c r="B57" s="1">
        <v>4</v>
      </c>
      <c r="C57" s="1">
        <v>0.2</v>
      </c>
      <c r="D57" s="1">
        <v>1614716</v>
      </c>
      <c r="E57" s="1">
        <v>265543</v>
      </c>
      <c r="F57" s="1">
        <v>2740550</v>
      </c>
      <c r="G57" s="1">
        <v>33251856</v>
      </c>
      <c r="J57" s="1">
        <f>(E57+K57)/(W57^3)</f>
        <v>140959</v>
      </c>
      <c r="K57" s="1">
        <f>(F57+L57)/(X57^3)</f>
        <v>862129</v>
      </c>
      <c r="L57" s="1">
        <f>G57/(Y57^3)</f>
        <v>4156482</v>
      </c>
      <c r="Q57" s="1">
        <f>D57*4+E57*4+F57*4+G57*4+J57*8+K57*8+L57*8</f>
        <v>192767220</v>
      </c>
      <c r="S57" s="1">
        <f>(Q54-Q57)/Q54</f>
        <v>0.94188512389865686</v>
      </c>
      <c r="W57" s="1">
        <v>2</v>
      </c>
      <c r="X57" s="1">
        <v>2</v>
      </c>
      <c r="Y57" s="1">
        <v>2</v>
      </c>
      <c r="Z57" s="1">
        <v>0.349919502902653</v>
      </c>
      <c r="AA57" s="3">
        <v>6.9939650026004496E-2</v>
      </c>
      <c r="AB57" s="3">
        <v>1.04794604060702E-3</v>
      </c>
      <c r="AD57" s="1">
        <f>MAX(S55:S57)</f>
        <v>0.96112239545414124</v>
      </c>
      <c r="AF57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Daeyeon Kim</dc:creator>
  <cp:keywords/>
  <dc:description/>
  <cp:lastModifiedBy>D. Kim</cp:lastModifiedBy>
  <cp:revision/>
  <dcterms:created xsi:type="dcterms:W3CDTF">2015-06-05T18:17:20Z</dcterms:created>
  <dcterms:modified xsi:type="dcterms:W3CDTF">2026-01-05T15:58:54Z</dcterms:modified>
  <cp:category/>
  <cp:contentStatus/>
</cp:coreProperties>
</file>